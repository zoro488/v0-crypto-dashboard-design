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Analisis_Clientes" sheetId="2" r:id="rId2"/>
    <sheet name="Top_Deudores" sheetId="3" r:id="rId3"/>
    <sheet name="Ordenes_Compra" sheetId="4" r:id="rId4"/>
    <sheet name="Bancos_Bovedas" sheetId="5" r:id="rId5"/>
    <sheet name="Segmentacion_RFM" sheetId="6" r:id="rId6"/>
    <sheet name="Analisis_Pareto" sheetId="7" r:id="rId7"/>
    <sheet name="Gastos_Abonos" sheetId="8" r:id="rId8"/>
    <sheet name="Anomalias_Detectadas" sheetId="9" r:id="rId9"/>
  </sheets>
  <calcPr calcId="124519" fullCalcOnLoad="1"/>
</workbook>
</file>

<file path=xl/sharedStrings.xml><?xml version="1.0" encoding="utf-8"?>
<sst xmlns="http://schemas.openxmlformats.org/spreadsheetml/2006/main" count="105" uniqueCount="84">
  <si>
    <t>Métrica</t>
  </si>
  <si>
    <t>Valor</t>
  </si>
  <si>
    <t>📊 RESUMEN EJECUTIVO - ANÁLISIS DE DATOS CHRONOS</t>
  </si>
  <si>
    <t>Fecha de Análisis</t>
  </si>
  <si>
    <t>Total Registros de Ventas</t>
  </si>
  <si>
    <t>Clientes Únicos</t>
  </si>
  <si>
    <t>Periodo de Datos</t>
  </si>
  <si>
    <t>Ingreso Total</t>
  </si>
  <si>
    <t>Ingreso Promedio por Venta</t>
  </si>
  <si>
    <t>Utilidad Total</t>
  </si>
  <si>
    <t>Utilidad Positiva</t>
  </si>
  <si>
    <t>Utilidad Negativa</t>
  </si>
  <si>
    <t>Ventas Pagadas</t>
  </si>
  <si>
    <t>Ventas Pendientes</t>
  </si>
  <si>
    <t>Monto Pendiente (Bóveda Monte)</t>
  </si>
  <si>
    <t>2025-12-02 10:56:03</t>
  </si>
  <si>
    <t>2025-08-23 00:00:00 a 2025-10-20 00:00:00</t>
  </si>
  <si>
    <t>Total Clientes</t>
  </si>
  <si>
    <t>Clientes con Deuda</t>
  </si>
  <si>
    <t>Clientes sin Deuda</t>
  </si>
  <si>
    <t>Deuda Total Cartera</t>
  </si>
  <si>
    <t>Abonos Totales</t>
  </si>
  <si>
    <t>Pendiente Cobrar</t>
  </si>
  <si>
    <t>Deuda Alta (&gt;100K)</t>
  </si>
  <si>
    <t>Deuda Media (10K-100K)</t>
  </si>
  <si>
    <t>Deuda Baja (&lt;10K)</t>
  </si>
  <si>
    <t>cliente</t>
  </si>
  <si>
    <t>pendiente</t>
  </si>
  <si>
    <t>Bódega M-P</t>
  </si>
  <si>
    <t>amigo playa azul</t>
  </si>
  <si>
    <t>flama</t>
  </si>
  <si>
    <t>Tio Tocayo</t>
  </si>
  <si>
    <t>Tocayo</t>
  </si>
  <si>
    <t>Robalo</t>
  </si>
  <si>
    <t>mg</t>
  </si>
  <si>
    <t>Wero Benavides</t>
  </si>
  <si>
    <t>Lamas</t>
  </si>
  <si>
    <t>Valle</t>
  </si>
  <si>
    <t>Total Órdenes</t>
  </si>
  <si>
    <t>Distribuidores Únicos</t>
  </si>
  <si>
    <t>Unidades Totales Compradas</t>
  </si>
  <si>
    <t>Costo Total de Compras</t>
  </si>
  <si>
    <t>Costo Promedio por Unidad</t>
  </si>
  <si>
    <t>Total Pagado a Distribuidores</t>
  </si>
  <si>
    <t>Deuda con Distribuidores</t>
  </si>
  <si>
    <t>Banco</t>
  </si>
  <si>
    <t>Total Movimientos</t>
  </si>
  <si>
    <t>Total Ingresos</t>
  </si>
  <si>
    <t>Promedio Movimiento</t>
  </si>
  <si>
    <t>Mayor Movimiento</t>
  </si>
  <si>
    <t>boveda_monte</t>
  </si>
  <si>
    <t>boveda_usa</t>
  </si>
  <si>
    <t>utilidades</t>
  </si>
  <si>
    <t>bancos_profit</t>
  </si>
  <si>
    <t>bancos_leftie</t>
  </si>
  <si>
    <t>bancos_azteca</t>
  </si>
  <si>
    <t>Segmento</t>
  </si>
  <si>
    <t>Cantidad</t>
  </si>
  <si>
    <t>Potential Loyalists</t>
  </si>
  <si>
    <t>Lost</t>
  </si>
  <si>
    <t>Champions</t>
  </si>
  <si>
    <t>At Risk</t>
  </si>
  <si>
    <t>New Customers</t>
  </si>
  <si>
    <t>Loyal Customers</t>
  </si>
  <si>
    <t>Clientes que generan 80% de ingresos</t>
  </si>
  <si>
    <t>Total de Clientes</t>
  </si>
  <si>
    <t>Ratio Pareto (%)</t>
  </si>
  <si>
    <t>Top 5 Clientes (%)</t>
  </si>
  <si>
    <t>Top 10 Clientes (%)</t>
  </si>
  <si>
    <t>Total Registros</t>
  </si>
  <si>
    <t>Registros de Gastos</t>
  </si>
  <si>
    <t>Registros de Abonos</t>
  </si>
  <si>
    <t>Total Gastos</t>
  </si>
  <si>
    <t>Total Abonos</t>
  </si>
  <si>
    <t>TC Promedio</t>
  </si>
  <si>
    <t>fecha</t>
  </si>
  <si>
    <t>ingreso</t>
  </si>
  <si>
    <t>tipo</t>
  </si>
  <si>
    <t>2025-08-23 00:00:00</t>
  </si>
  <si>
    <t>2025-08-30 00:00:00</t>
  </si>
  <si>
    <t>2025-09-06 00:00:00</t>
  </si>
  <si>
    <t>2025-09-13 00:00:00</t>
  </si>
  <si>
    <t>Ax</t>
  </si>
  <si>
    <t>ingreso_atipico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</si>
</sst>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15</v>
      </c>
    </row>
    <row r="5" spans="1:2">
      <c r="A5">
        <f>== VENTAS ===</f>
        <v>0</v>
      </c>
    </row>
    <row r="6" spans="1:2">
      <c r="A6" t="s">
        <v>4</v>
      </c>
      <c r="B6">
        <v>96</v>
      </c>
    </row>
    <row r="7" spans="1:2">
      <c r="A7" t="s">
        <v>5</v>
      </c>
      <c r="B7">
        <v>26</v>
      </c>
    </row>
    <row r="8" spans="1:2">
      <c r="A8" t="s">
        <v>6</v>
      </c>
      <c r="B8" t="s">
        <v>16</v>
      </c>
    </row>
    <row r="10" spans="1:2">
      <c r="A10">
        <f>== MÉTRICAS FINANCIERAS ===</f>
        <v>0</v>
      </c>
    </row>
    <row r="11" spans="1:2">
      <c r="A11" t="s">
        <v>7</v>
      </c>
      <c r="B11">
        <v>8501600</v>
      </c>
    </row>
    <row r="12" spans="1:2">
      <c r="A12" t="s">
        <v>8</v>
      </c>
      <c r="B12">
        <v>88558.33333333333</v>
      </c>
    </row>
    <row r="13" spans="1:2">
      <c r="A13" t="s">
        <v>9</v>
      </c>
      <c r="B13">
        <v>-6095100</v>
      </c>
    </row>
    <row r="14" spans="1:2">
      <c r="A14" t="s">
        <v>10</v>
      </c>
      <c r="B14">
        <v>178400</v>
      </c>
    </row>
    <row r="15" spans="1:2">
      <c r="A15" t="s">
        <v>11</v>
      </c>
      <c r="B15">
        <v>-6273500</v>
      </c>
    </row>
    <row r="17" spans="1:2">
      <c r="A17">
        <f>== ESTADO DE PAGOS ===</f>
        <v>0</v>
      </c>
    </row>
    <row r="18" spans="1:2">
      <c r="A18" t="s">
        <v>12</v>
      </c>
      <c r="B18">
        <v>50</v>
      </c>
    </row>
    <row r="19" spans="1:2">
      <c r="A19" t="s">
        <v>13</v>
      </c>
      <c r="B19">
        <v>46</v>
      </c>
    </row>
    <row r="20" spans="1:2">
      <c r="A20" t="s">
        <v>14</v>
      </c>
      <c r="B20">
        <v>11976300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CARTERA DE CLIENTES ===</f>
        <v>0</v>
      </c>
    </row>
    <row r="3" spans="1:2">
      <c r="A3" t="s">
        <v>17</v>
      </c>
      <c r="B3">
        <v>31</v>
      </c>
    </row>
    <row r="4" spans="1:2">
      <c r="A4" t="s">
        <v>18</v>
      </c>
      <c r="B4">
        <v>11</v>
      </c>
    </row>
    <row r="5" spans="1:2">
      <c r="A5" t="s">
        <v>19</v>
      </c>
      <c r="B5">
        <v>20</v>
      </c>
    </row>
    <row r="7" spans="1:2">
      <c r="A7">
        <f>== MONTOS ===</f>
        <v>0</v>
      </c>
    </row>
    <row r="8" spans="1:2">
      <c r="A8" t="s">
        <v>20</v>
      </c>
      <c r="B8">
        <v>5552200</v>
      </c>
    </row>
    <row r="9" spans="1:2">
      <c r="A9" t="s">
        <v>21</v>
      </c>
      <c r="B9">
        <v>2920280</v>
      </c>
    </row>
    <row r="10" spans="1:2">
      <c r="A10" t="s">
        <v>22</v>
      </c>
      <c r="B10">
        <v>2952300</v>
      </c>
    </row>
    <row r="12" spans="1:2">
      <c r="A12">
        <f>== SEGMENTACIÓN ===</f>
        <v>0</v>
      </c>
    </row>
    <row r="13" spans="1:2">
      <c r="A13" t="s">
        <v>23</v>
      </c>
      <c r="B13">
        <v>9</v>
      </c>
    </row>
    <row r="14" spans="1:2">
      <c r="A14" t="s">
        <v>24</v>
      </c>
      <c r="B14">
        <v>2</v>
      </c>
    </row>
    <row r="15" spans="1:2">
      <c r="A15" t="s">
        <v>25</v>
      </c>
      <c r="B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945000</v>
      </c>
    </row>
    <row r="3" spans="1:2">
      <c r="A3" t="s">
        <v>29</v>
      </c>
      <c r="B3">
        <v>355000</v>
      </c>
    </row>
    <row r="4" spans="1:2">
      <c r="A4" t="s">
        <v>30</v>
      </c>
      <c r="B4">
        <v>335000</v>
      </c>
    </row>
    <row r="5" spans="1:2">
      <c r="A5" t="s">
        <v>31</v>
      </c>
      <c r="B5">
        <v>315000</v>
      </c>
    </row>
    <row r="6" spans="1:2">
      <c r="A6" t="s">
        <v>32</v>
      </c>
      <c r="B6">
        <v>255200</v>
      </c>
    </row>
    <row r="7" spans="1:2">
      <c r="A7" t="s">
        <v>33</v>
      </c>
      <c r="B7">
        <v>234000</v>
      </c>
    </row>
    <row r="8" spans="1:2">
      <c r="A8" t="s">
        <v>34</v>
      </c>
      <c r="B8">
        <v>205900</v>
      </c>
    </row>
    <row r="9" spans="1:2">
      <c r="A9" t="s">
        <v>35</v>
      </c>
      <c r="B9">
        <v>142000</v>
      </c>
    </row>
    <row r="10" spans="1:2">
      <c r="A10" t="s">
        <v>36</v>
      </c>
      <c r="B10">
        <v>116200</v>
      </c>
    </row>
    <row r="11" spans="1:2">
      <c r="A11" t="s">
        <v>37</v>
      </c>
      <c r="B11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ÓRDENES DE COMPRA ===</f>
        <v>0</v>
      </c>
    </row>
    <row r="3" spans="1:2">
      <c r="A3" t="s">
        <v>38</v>
      </c>
      <c r="B3">
        <v>9</v>
      </c>
    </row>
    <row r="4" spans="1:2">
      <c r="A4" t="s">
        <v>39</v>
      </c>
      <c r="B4">
        <v>6</v>
      </c>
    </row>
    <row r="5" spans="1:2">
      <c r="A5" t="s">
        <v>40</v>
      </c>
      <c r="B5">
        <v>2296</v>
      </c>
    </row>
    <row r="7" spans="1:2">
      <c r="A7">
        <f>== COSTOS ===</f>
        <v>0</v>
      </c>
    </row>
    <row r="8" spans="1:2">
      <c r="A8" t="s">
        <v>41</v>
      </c>
      <c r="B8">
        <v>14478800</v>
      </c>
    </row>
    <row r="9" spans="1:2">
      <c r="A9" t="s">
        <v>42</v>
      </c>
      <c r="B9">
        <v>6377.777777777777</v>
      </c>
    </row>
    <row r="11" spans="1:2">
      <c r="A11">
        <f>== PAGOS ===</f>
        <v>0</v>
      </c>
    </row>
    <row r="12" spans="1:2">
      <c r="A12" t="s">
        <v>43</v>
      </c>
      <c r="B12">
        <v>953100</v>
      </c>
    </row>
    <row r="13" spans="1:2">
      <c r="A13" t="s">
        <v>44</v>
      </c>
      <c r="B13">
        <v>13525700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>
      <c r="A2" t="s">
        <v>50</v>
      </c>
      <c r="B2">
        <v>69</v>
      </c>
      <c r="C2">
        <v>5722280</v>
      </c>
      <c r="D2">
        <v>82931.59420289854</v>
      </c>
      <c r="E2">
        <v>345100</v>
      </c>
    </row>
    <row r="3" spans="1:5">
      <c r="A3" t="s">
        <v>51</v>
      </c>
      <c r="B3">
        <v>17</v>
      </c>
      <c r="C3">
        <v>1888275</v>
      </c>
      <c r="D3">
        <v>111075</v>
      </c>
      <c r="E3">
        <v>650000</v>
      </c>
    </row>
    <row r="4" spans="1:5">
      <c r="A4" t="s">
        <v>52</v>
      </c>
      <c r="B4">
        <v>51</v>
      </c>
      <c r="C4">
        <v>280758</v>
      </c>
      <c r="D4">
        <v>5505.058823529412</v>
      </c>
      <c r="E4">
        <v>205658</v>
      </c>
    </row>
    <row r="5" spans="1:5">
      <c r="A5" t="s">
        <v>53</v>
      </c>
      <c r="B5">
        <v>55</v>
      </c>
      <c r="C5">
        <v>12577748</v>
      </c>
      <c r="D5">
        <v>228686.3272727273</v>
      </c>
      <c r="E5">
        <v>1500000</v>
      </c>
    </row>
    <row r="6" spans="1:5">
      <c r="A6" t="s">
        <v>54</v>
      </c>
      <c r="B6">
        <v>11</v>
      </c>
      <c r="C6">
        <v>1745100</v>
      </c>
      <c r="D6">
        <v>158645.4545454546</v>
      </c>
      <c r="E6">
        <v>280000</v>
      </c>
    </row>
    <row r="7" spans="1:5">
      <c r="A7" t="s">
        <v>55</v>
      </c>
      <c r="B7">
        <v>6</v>
      </c>
      <c r="C7">
        <v>1880970</v>
      </c>
      <c r="D7">
        <v>313495</v>
      </c>
      <c r="E7">
        <v>1400000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>
        <v>8</v>
      </c>
    </row>
    <row r="3" spans="1:2">
      <c r="A3" t="s">
        <v>59</v>
      </c>
      <c r="B3">
        <v>6</v>
      </c>
    </row>
    <row r="4" spans="1:2">
      <c r="A4" t="s">
        <v>60</v>
      </c>
      <c r="B4">
        <v>4</v>
      </c>
    </row>
    <row r="5" spans="1:2">
      <c r="A5" t="s">
        <v>61</v>
      </c>
      <c r="B5">
        <v>3</v>
      </c>
    </row>
    <row r="6" spans="1:2">
      <c r="A6" t="s">
        <v>62</v>
      </c>
      <c r="B6">
        <v>3</v>
      </c>
    </row>
    <row r="7" spans="1:2">
      <c r="A7" t="s">
        <v>63</v>
      </c>
      <c r="B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ANÁLISIS PARETO (80/20) ===</f>
        <v>0</v>
      </c>
    </row>
    <row r="3" spans="1:2">
      <c r="A3" t="s">
        <v>64</v>
      </c>
      <c r="B3">
        <v>10</v>
      </c>
    </row>
    <row r="4" spans="1:2">
      <c r="A4" t="s">
        <v>65</v>
      </c>
      <c r="B4">
        <v>26</v>
      </c>
    </row>
    <row r="5" spans="1:2">
      <c r="A5" t="s">
        <v>66</v>
      </c>
      <c r="B5">
        <v>38.46</v>
      </c>
    </row>
    <row r="7" spans="1:2">
      <c r="A7">
        <f>== CONCENTRACIÓN ===</f>
        <v>0</v>
      </c>
    </row>
    <row r="8" spans="1:2">
      <c r="A8" t="s">
        <v>67</v>
      </c>
      <c r="B8">
        <v>51.71497129952009</v>
      </c>
    </row>
    <row r="9" spans="1:2">
      <c r="A9" t="s">
        <v>68</v>
      </c>
      <c r="B9">
        <v>78.17469652771243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GASTOS Y ABONOS ===</f>
        <v>0</v>
      </c>
    </row>
    <row r="3" spans="1:2">
      <c r="A3" t="s">
        <v>69</v>
      </c>
      <c r="B3">
        <v>302</v>
      </c>
    </row>
    <row r="4" spans="1:2">
      <c r="A4" t="s">
        <v>70</v>
      </c>
      <c r="B4">
        <v>215</v>
      </c>
    </row>
    <row r="5" spans="1:2">
      <c r="A5" t="s">
        <v>71</v>
      </c>
      <c r="B5">
        <v>87</v>
      </c>
    </row>
    <row r="7" spans="1:2">
      <c r="A7">
        <f>== MONTOS ===</f>
        <v>0</v>
      </c>
    </row>
    <row r="8" spans="1:2">
      <c r="A8" t="s">
        <v>72</v>
      </c>
      <c r="B8">
        <v>10916768.68</v>
      </c>
    </row>
    <row r="9" spans="1:2">
      <c r="A9" t="s">
        <v>73</v>
      </c>
      <c r="B9">
        <v>13881913</v>
      </c>
    </row>
    <row r="11" spans="1:2">
      <c r="A11">
        <f>== TIPO DE CAMBIO USD ===</f>
        <v>0</v>
      </c>
    </row>
    <row r="12" spans="1:2">
      <c r="A12" t="s">
        <v>74</v>
      </c>
      <c r="B12">
        <v>18.08045977011495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75</v>
      </c>
      <c r="B1" s="1" t="s">
        <v>26</v>
      </c>
      <c r="C1" s="1" t="s">
        <v>76</v>
      </c>
      <c r="D1" s="1" t="s">
        <v>77</v>
      </c>
    </row>
    <row r="2" spans="1:4">
      <c r="A2" t="s">
        <v>78</v>
      </c>
      <c r="B2" t="s">
        <v>28</v>
      </c>
      <c r="C2">
        <v>945000</v>
      </c>
      <c r="D2" t="s">
        <v>83</v>
      </c>
    </row>
    <row r="3" spans="1:4">
      <c r="A3" t="s">
        <v>78</v>
      </c>
      <c r="B3" t="s">
        <v>37</v>
      </c>
      <c r="C3">
        <v>408000</v>
      </c>
      <c r="D3" t="s">
        <v>83</v>
      </c>
    </row>
    <row r="4" spans="1:4">
      <c r="A4" t="s">
        <v>78</v>
      </c>
      <c r="B4" t="s">
        <v>82</v>
      </c>
      <c r="C4">
        <v>350000</v>
      </c>
      <c r="D4" t="s">
        <v>83</v>
      </c>
    </row>
    <row r="5" spans="1:4">
      <c r="A5" t="s">
        <v>79</v>
      </c>
      <c r="B5" t="s">
        <v>37</v>
      </c>
      <c r="C5">
        <v>472500</v>
      </c>
      <c r="D5" t="s">
        <v>83</v>
      </c>
    </row>
    <row r="6" spans="1:4">
      <c r="A6" t="s">
        <v>80</v>
      </c>
      <c r="B6" t="s">
        <v>33</v>
      </c>
      <c r="C6">
        <v>396000</v>
      </c>
      <c r="D6" t="s">
        <v>83</v>
      </c>
    </row>
    <row r="7" spans="1:4">
      <c r="A7" t="s">
        <v>81</v>
      </c>
      <c r="B7" t="s">
        <v>29</v>
      </c>
      <c r="C7">
        <v>355000</v>
      </c>
      <c r="D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Resumen_Ejecutivo</vt:lpstr>
      <vt:lpstr>Analisis_Clientes</vt:lpstr>
      <vt:lpstr>Top_Deudores</vt:lpstr>
      <vt:lpstr>Ordenes_Compra</vt:lpstr>
      <vt:lpstr>Bancos_Bovedas</vt:lpstr>
      <vt:lpstr>Segmentacion_RFM</vt:lpstr>
      <vt:lpstr>Analisis_Pareto</vt:lpstr>
      <vt:lpstr>Gastos_Abonos</vt:lpstr>
      <vt:lpstr>Anomalias_Detectadas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2025-12-02T10:56:03Z</dcterms:created>
  <dcterms:modified xsi:type="dcterms:W3CDTF">2025-12-02T10:56:03Z</dcterms:modified>
</cp:coreProperties>
</file>